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alak\Downloads\"/>
    </mc:Choice>
  </mc:AlternateContent>
  <xr:revisionPtr revIDLastSave="0" documentId="13_ncr:1_{DDC775C6-6120-48A1-B759-EC113378BC92}" xr6:coauthVersionLast="47" xr6:coauthVersionMax="47" xr10:uidLastSave="{00000000-0000-0000-0000-000000000000}"/>
  <bookViews>
    <workbookView xWindow="-108" yWindow="-108" windowWidth="23256" windowHeight="1257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/>
  <c r="B17" i="16" a="1"/>
  <c r="B17" i="16"/>
  <c r="B20" i="16" a="1"/>
  <c r="B20" i="16"/>
  <c r="B21" i="16" a="1"/>
  <c r="B21" i="16"/>
  <c r="B22" i="16" a="1"/>
  <c r="B22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B55" i="16" a="1"/>
  <c r="B55" i="16"/>
  <c r="B18" i="16" a="1"/>
  <c r="B18" i="16"/>
  <c r="B19" i="16" a="1"/>
  <c r="B19" i="16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26" i="18"/>
  <c r="F27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F7" i="18"/>
  <c r="F8" i="18"/>
  <c r="F9" i="18"/>
  <c r="F6" i="18"/>
  <c r="E6" i="18"/>
  <c r="E7" i="18"/>
  <c r="E8" i="18"/>
  <c r="E9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7" i="18"/>
  <c r="D8" i="18"/>
  <c r="D9" i="18"/>
  <c r="D6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7" i="18"/>
  <c r="C8" i="18"/>
  <c r="C9" i="18"/>
  <c r="C6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7" i="18"/>
  <c r="B8" i="18"/>
  <c r="B9" i="18"/>
  <c r="B6" i="18"/>
  <c r="H42" i="1"/>
  <c r="B30" i="18" l="1"/>
  <c r="B29" i="18"/>
  <c r="B28" i="18"/>
  <c r="C30" i="18"/>
  <c r="C29" i="18"/>
  <c r="C28" i="18"/>
  <c r="D30" i="18"/>
  <c r="D29" i="18"/>
  <c r="D28" i="18"/>
  <c r="E30" i="18"/>
  <c r="E29" i="18"/>
  <c r="E28" i="18"/>
  <c r="F30" i="18"/>
  <c r="F29" i="18"/>
  <c r="F28" i="18"/>
  <c r="F55" i="16"/>
  <c r="E55" i="16"/>
  <c r="D55" i="16"/>
  <c r="C55" i="16"/>
  <c r="F54" i="16"/>
  <c r="E54" i="16"/>
  <c r="D54" i="16"/>
  <c r="C54" i="16"/>
  <c r="F53" i="16"/>
  <c r="E53" i="16"/>
  <c r="D53" i="16"/>
  <c r="C53" i="16"/>
  <c r="F52" i="16"/>
  <c r="E52" i="16"/>
  <c r="D52" i="16"/>
  <c r="C52" i="16"/>
  <c r="F51" i="16"/>
  <c r="E51" i="16"/>
  <c r="D51" i="16"/>
  <c r="C51" i="16"/>
  <c r="F50" i="16"/>
  <c r="E50" i="16"/>
  <c r="D50" i="16"/>
  <c r="C50" i="16"/>
  <c r="F49" i="16"/>
  <c r="E49" i="16"/>
  <c r="D49" i="16"/>
  <c r="C49" i="16"/>
  <c r="F48" i="16"/>
  <c r="E48" i="16"/>
  <c r="D48" i="16"/>
  <c r="C48" i="16"/>
  <c r="F47" i="16"/>
  <c r="E47" i="16"/>
  <c r="D47" i="16"/>
  <c r="C47" i="16"/>
  <c r="F46" i="16"/>
  <c r="E46" i="16"/>
  <c r="D46" i="16"/>
  <c r="C46" i="16"/>
  <c r="F45" i="16"/>
  <c r="E45" i="16"/>
  <c r="D45" i="16"/>
  <c r="C45" i="16"/>
  <c r="F44" i="16"/>
  <c r="E44" i="16"/>
  <c r="D44" i="16"/>
  <c r="C44" i="16"/>
  <c r="F43" i="16"/>
  <c r="E43" i="16"/>
  <c r="D43" i="16"/>
  <c r="C43" i="16"/>
  <c r="F42" i="16"/>
  <c r="E42" i="16"/>
  <c r="D42" i="16"/>
  <c r="C42" i="16"/>
  <c r="F41" i="16"/>
  <c r="E41" i="16"/>
  <c r="D41" i="16"/>
  <c r="C41" i="16"/>
  <c r="F40" i="16"/>
  <c r="E40" i="16"/>
  <c r="D40" i="16"/>
  <c r="C40" i="16"/>
  <c r="F39" i="16"/>
  <c r="E39" i="16"/>
  <c r="D39" i="16"/>
  <c r="C39" i="16"/>
  <c r="F38" i="16"/>
  <c r="E38" i="16"/>
  <c r="D38" i="16"/>
  <c r="C38" i="16"/>
  <c r="F37" i="16"/>
  <c r="E37" i="16"/>
  <c r="D37" i="16"/>
  <c r="C37" i="16"/>
  <c r="F36" i="16"/>
  <c r="E36" i="16"/>
  <c r="D36" i="16"/>
  <c r="C36" i="16"/>
  <c r="F35" i="16"/>
  <c r="E35" i="16"/>
  <c r="D35" i="16"/>
  <c r="C35" i="16"/>
  <c r="F34" i="16"/>
  <c r="E34" i="16"/>
  <c r="D34" i="16"/>
  <c r="C34" i="16"/>
  <c r="F33" i="16"/>
  <c r="E33" i="16"/>
  <c r="D33" i="16"/>
  <c r="C33" i="16"/>
  <c r="F32" i="16"/>
  <c r="E32" i="16"/>
  <c r="D32" i="16"/>
  <c r="C32" i="16"/>
  <c r="F31" i="16"/>
  <c r="E31" i="16"/>
  <c r="D31" i="16"/>
  <c r="C31" i="16"/>
  <c r="F30" i="16"/>
  <c r="E30" i="16"/>
  <c r="D30" i="16"/>
  <c r="C30" i="16"/>
  <c r="F29" i="16"/>
  <c r="E29" i="16"/>
  <c r="D29" i="16"/>
  <c r="C29" i="16"/>
  <c r="F28" i="16"/>
  <c r="E28" i="16"/>
  <c r="D28" i="16"/>
  <c r="C28" i="16"/>
  <c r="F27" i="16"/>
  <c r="E27" i="16"/>
  <c r="D27" i="16"/>
  <c r="C27" i="16"/>
  <c r="F26" i="16"/>
  <c r="E26" i="16"/>
  <c r="D26" i="16"/>
  <c r="C26" i="16"/>
  <c r="F25" i="16"/>
  <c r="E25" i="16"/>
  <c r="D25" i="16"/>
  <c r="C25" i="16"/>
  <c r="F24" i="16"/>
  <c r="E24" i="16"/>
  <c r="D24" i="16"/>
  <c r="C24" i="16"/>
  <c r="F23" i="16"/>
  <c r="E23" i="16"/>
  <c r="D23" i="16"/>
  <c r="C23" i="16"/>
  <c r="F22" i="16"/>
  <c r="E22" i="16"/>
  <c r="D22" i="16"/>
  <c r="C22" i="16"/>
  <c r="F21" i="16"/>
  <c r="E21" i="16"/>
  <c r="D21" i="16"/>
  <c r="C21" i="16"/>
  <c r="F20" i="16"/>
  <c r="E20" i="16"/>
  <c r="D20" i="16"/>
  <c r="C20" i="16"/>
  <c r="F19" i="16"/>
  <c r="E19" i="16"/>
  <c r="D19" i="16"/>
  <c r="C19" i="16"/>
  <c r="F18" i="16"/>
  <c r="E18" i="16"/>
  <c r="D18" i="16"/>
  <c r="C18" i="16"/>
  <c r="F17" i="16"/>
  <c r="E17" i="16"/>
  <c r="D17" i="16"/>
  <c r="C17" i="1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<sst xmlns="http://schemas.openxmlformats.org/spreadsheetml/2006/main" count="330" uniqueCount="185">
  <si>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</si>
  <si>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</si>
  <si>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</si>
  <si>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</si>
  <si>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</si>
  <si>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</si>
  <si>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</si>
  <si>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</si>
  <si>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</si>
  <si>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</si>
  <si>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</si>
  <si>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</si>
  <si>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</si>
  <si>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</si>
  <si>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</si>
  <si>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</si>
  <si>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</si>
  <si>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</si>
  <si>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</si>
  <si>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</si>
  <si>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</si>
  <si>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</si>
  <si>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</si>
  <si>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</si>
  <si>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</si>
  <si>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</si>
  <si>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</si>
  <si>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</si>
  <si>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</si>
  <si>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</si>
  <si>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</si>
  <si>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</si>
  <si>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</si>
  <si>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</si>
  <si>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</si>
  <si>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</si>
  <si>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</si>
  <si>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</si>
  <si>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</si>
  <si>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</si>
  <si>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</si>
  <si>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</si>
  <si>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</si>
  <si>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</si>
  <si>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</si>
  <si>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</si>
  <si>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</si>
  <si>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</si>
  <si>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</si>
  <si>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</si>
  <si>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</si>
  <si>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</si>
  <si>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</si>
  <si>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</si>
  <si>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</si>
  <si>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</si>
  <si>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</si>
  <si>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</si>
  <si>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</si>
  <si>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</si>
  <si>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</si>
  <si>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</si>
  <si>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</si>
  <si>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</si>
  <si>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</si>
  <si>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</si>
  <si>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</si>
  <si>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</si>
  <si>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</si>
  <si>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</si>
  <si>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</si>
  <si>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</si>
  <si>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</si>
  <si>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</si>
  <si>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</si>
  <si>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</si>
  <si>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</si>
  <si>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</si>
  <si>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</si>
  <si>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</si>
  <si>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</si>
  <si>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</si>
  <si>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</si>
  <si>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</si>
  <si>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</si>
  <si>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</si>
  <si>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</si>
  <si>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</si>
  <si>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[=SUMIF(H2:H40,"&gt;20")]</t>
  </si>
  <si>
    <t>#I have given the formula inside the bracket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</si>
  <si>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</si>
  <si>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</si>
  <si>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</si>
  <si>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</si>
  <si>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</si>
  <si>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</si>
  <si>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</si>
  <si>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</si>
  <si>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</si>
  <si>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</si>
  <si>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[=TEXTSPLIT(text, col_delimiter, ", ")]</t>
  </si>
  <si>
    <t>Explanation:</t>
  </si>
  <si>
    <t>It splits the string into multiple cells.  In the above case we have to split string from "-", so we specify the delimiter.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</si>
  <si>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</si>
  <si>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</si>
  <si>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</si>
  <si>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</si>
  <si>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</si>
  <si>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</si>
  <si>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</si>
  <si>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</si>
  <si>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</si>
  <si>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</si>
  <si>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</si>
  <si>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</si>
  <si>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</si>
  <si>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</si>
  <si>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</si>
  <si>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</si>
  <si>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</si>
  <si>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</si>
  <si>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</si>
  <si>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</si>
  <si>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</si>
  <si>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</si>
  <si>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</si>
  <si>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</si>
  <si>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</si>
  <si>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</si>
  <si>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</si>
  <si>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</si>
  <si>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</si>
  <si>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</si>
  <si>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</si>
  <si>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</si>
  <si>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</si>
  <si>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</si>
  <si>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</si>
  <si>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</si>
  <si>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</si>
  <si>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</si>
  <si>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</si>
  <si>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</si>
  <si>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</si>
  <si>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</si>
  <si>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</si>
  <si>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</si>
  <si>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</si>
  <si>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</si>
  <si>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</si>
  <si>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</si>
  <si>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</si>
  <si>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Find and Replace, SUM</t>
  </si>
  <si>
    <r>
      <rPr>
        <sz val="11"/>
        <color rgb="FF000000"/>
        <rFont val="Calibri"/>
        <scheme val="minor"/>
      </rPr>
      <t xml:space="preserve">To Replace #N/A with value 20 we use </t>
    </r>
    <r>
      <rPr>
        <b/>
        <sz val="11"/>
        <color rgb="FF000000"/>
        <rFont val="Calibri"/>
        <scheme val="minor"/>
      </rPr>
      <t>Find and Replace</t>
    </r>
    <r>
      <rPr>
        <sz val="11"/>
        <color rgb="FF000000"/>
        <rFont val="Calibri"/>
        <scheme val="minor"/>
      </rPr>
      <t xml:space="preserve"> option and fill #N/A in Find tab and 20 in Replace tab. It replaces all #N/A values with 20. After that I used SUM Function to sum all the sales value.</t>
    </r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</si>
  <si>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</si>
  <si>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</si>
  <si>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</si>
  <si>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</si>
  <si>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</si>
  <si>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</si>
  <si>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</si>
  <si>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</si>
  <si>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</si>
  <si>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</si>
  <si>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</si>
  <si>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</si>
  <si>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</si>
  <si>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</si>
  <si>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</si>
  <si>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[=INDEX(array,row_num,[col_num]]</t>
  </si>
  <si>
    <r>
      <rPr>
        <sz val="11"/>
        <color rgb="FF000000"/>
        <rFont val="Calibri"/>
      </rPr>
      <t xml:space="preserve">It gets a value in a table based on location. I used </t>
    </r>
    <r>
      <rPr>
        <b/>
        <sz val="11"/>
        <color rgb="FF000000"/>
        <rFont val="Calibri"/>
      </rPr>
      <t>Index</t>
    </r>
    <r>
      <rPr>
        <sz val="11"/>
        <color rgb="FF000000"/>
        <rFont val="Calibri"/>
      </rPr>
      <t xml:space="preserve"> function to get a specific value from tables. First I provided the array to lookup for the value then gave the row number and column number from the table to get the specific value.</t>
    </r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</si>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</sst>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3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4" fontId="17" fillId="0" borderId="0" xfId="0" applyNumberFormat="1" applyFont="1"/>
    <xf numFmtId="164" fontId="18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  <xf numFmtId="0" fontId="14" fillId="0" borderId="0" xfId="0" applyFont="1" applyAlignment="1">
      <alignment wrapText="1"/>
    </xf>
    <xf numFmtId="0" fontId="19" fillId="0" borderId="0" xfId="0" applyFont="1"/>
    <xf numFmtId="0" fontId="21" fillId="0" borderId="0" xfId="0" applyFont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FF0000"/>
      </font>
    </dxf>
    <dxf>
      <font>
        <color theme="9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0</v>
      </c>
    </row>
    <row r="2" spans="1:3" x14ac:dyDescent="0.3">
      <c r="A2" s="2" t="s">
        <v>1</v>
      </c>
    </row>
    <row r="3" spans="1:3" x14ac:dyDescent="0.3">
      <c r="A3" s="2" t="s">
        <v>2</v>
      </c>
    </row>
    <row r="4" spans="1:3" ht="14.4" x14ac:dyDescent="0.3">
      <c r="A4" s="2" t="s">
        <v>3</v>
      </c>
      <c r="C4" s="1"/>
    </row>
    <row r="5" spans="1:3" x14ac:dyDescent="0.3">
      <c r="A5" s="2" t="s">
        <v>4</v>
      </c>
    </row>
    <row r="8" spans="1:3" x14ac:dyDescent="0.3">
      <c r="A8" s="2" t="s">
        <v>5</v>
      </c>
    </row>
    <row r="9" spans="1:3" x14ac:dyDescent="0.3">
      <c r="A9" s="35" t="s">
        <v>6</v>
      </c>
      <c r="B9" s="26" t="s">
        <v>7</v>
      </c>
    </row>
    <row r="10" spans="1:3" x14ac:dyDescent="0.3">
      <c r="A10" s="34" t="s">
        <v>8</v>
      </c>
      <c r="B10" s="36">
        <v>25</v>
      </c>
    </row>
    <row r="11" spans="1:3" x14ac:dyDescent="0.3">
      <c r="A11" s="34" t="s">
        <v>9</v>
      </c>
      <c r="B11" s="36">
        <v>30</v>
      </c>
    </row>
    <row r="12" spans="1:3" x14ac:dyDescent="0.3">
      <c r="A12" s="34" t="s">
        <v>10</v>
      </c>
      <c r="B12" s="36">
        <v>10</v>
      </c>
    </row>
    <row r="13" spans="1:3" x14ac:dyDescent="0.3">
      <c r="A13" s="34" t="s">
        <v>11</v>
      </c>
      <c r="B13" s="36">
        <v>20</v>
      </c>
    </row>
    <row r="14" spans="1:3" x14ac:dyDescent="0.3">
      <c r="A14" s="34" t="s">
        <v>12</v>
      </c>
      <c r="B14" s="36">
        <v>40</v>
      </c>
    </row>
    <row r="15" spans="1:3" x14ac:dyDescent="0.3">
      <c r="A15" s="37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Q16" sqref="Q1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45" customWidth="1"/>
    <col min="5" max="5" width="9.1093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44140625" style="1" bestFit="1" customWidth="1"/>
    <col min="25" max="16384" width="9" style="1"/>
  </cols>
  <sheetData>
    <row r="1" spans="1:24" s="3" customFormat="1" ht="14.7" customHeight="1" x14ac:dyDescent="0.3">
      <c r="A1" s="27" t="s">
        <v>14</v>
      </c>
      <c r="B1" s="27" t="s">
        <v>15</v>
      </c>
      <c r="C1" s="27" t="s">
        <v>16</v>
      </c>
      <c r="D1" s="44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3" t="s">
        <v>37</v>
      </c>
    </row>
    <row r="2" spans="1:24" x14ac:dyDescent="0.3">
      <c r="A2" s="1" t="s">
        <v>38</v>
      </c>
      <c r="B2" s="1">
        <v>20000</v>
      </c>
      <c r="C2" s="1" t="s">
        <v>39</v>
      </c>
      <c r="D2" s="45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41</v>
      </c>
      <c r="B3" s="1">
        <v>20002</v>
      </c>
      <c r="C3" s="1" t="s">
        <v>39</v>
      </c>
      <c r="D3" s="45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42</v>
      </c>
      <c r="B4" s="1">
        <v>20004</v>
      </c>
      <c r="C4" s="1" t="s">
        <v>39</v>
      </c>
      <c r="D4" s="45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43</v>
      </c>
      <c r="B5" s="1">
        <v>20006</v>
      </c>
      <c r="C5" s="1" t="s">
        <v>39</v>
      </c>
      <c r="D5" s="45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44</v>
      </c>
      <c r="B6" s="1">
        <v>20008</v>
      </c>
      <c r="C6" s="1" t="s">
        <v>39</v>
      </c>
      <c r="D6" s="45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45</v>
      </c>
      <c r="B7" s="1">
        <v>20010</v>
      </c>
      <c r="C7" s="1" t="s">
        <v>39</v>
      </c>
      <c r="D7" s="45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46</v>
      </c>
      <c r="B8" s="1">
        <v>20012</v>
      </c>
      <c r="C8" s="1" t="s">
        <v>39</v>
      </c>
      <c r="D8" s="45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47</v>
      </c>
      <c r="B9" s="1">
        <v>20014</v>
      </c>
      <c r="C9" s="1" t="s">
        <v>39</v>
      </c>
      <c r="D9" s="45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48</v>
      </c>
      <c r="B10" s="1">
        <v>20016</v>
      </c>
      <c r="C10" s="1" t="s">
        <v>39</v>
      </c>
      <c r="D10" s="45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49</v>
      </c>
      <c r="B11" s="1">
        <v>20018</v>
      </c>
      <c r="C11" s="1" t="s">
        <v>39</v>
      </c>
      <c r="D11" s="45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50</v>
      </c>
      <c r="B12" s="1">
        <v>20020</v>
      </c>
      <c r="C12" s="1" t="s">
        <v>39</v>
      </c>
      <c r="D12" s="45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51</v>
      </c>
      <c r="B13" s="1">
        <v>20022</v>
      </c>
      <c r="C13" s="1" t="s">
        <v>39</v>
      </c>
      <c r="D13" s="45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52</v>
      </c>
      <c r="B14" s="1">
        <v>20024</v>
      </c>
      <c r="C14" s="1" t="s">
        <v>39</v>
      </c>
      <c r="D14" s="45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53</v>
      </c>
      <c r="B15" s="1">
        <v>20026</v>
      </c>
      <c r="C15" s="1" t="s">
        <v>39</v>
      </c>
      <c r="D15" s="45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54</v>
      </c>
      <c r="B16" s="1">
        <v>20028</v>
      </c>
      <c r="C16" s="1" t="s">
        <v>39</v>
      </c>
      <c r="D16" s="45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55</v>
      </c>
      <c r="B17" s="1">
        <v>20030</v>
      </c>
      <c r="C17" s="1" t="s">
        <v>39</v>
      </c>
      <c r="D17" s="45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56</v>
      </c>
      <c r="B18" s="1">
        <v>20032</v>
      </c>
      <c r="C18" s="1" t="s">
        <v>39</v>
      </c>
      <c r="D18" s="45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57</v>
      </c>
      <c r="B19" s="1">
        <v>20034</v>
      </c>
      <c r="C19" s="1" t="s">
        <v>39</v>
      </c>
      <c r="D19" s="45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58</v>
      </c>
      <c r="B20" s="1">
        <v>20036</v>
      </c>
      <c r="C20" s="1" t="s">
        <v>39</v>
      </c>
      <c r="D20" s="45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59</v>
      </c>
      <c r="B21" s="1">
        <v>20038</v>
      </c>
      <c r="C21" s="1" t="s">
        <v>39</v>
      </c>
      <c r="D21" s="45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60</v>
      </c>
      <c r="B22" s="1">
        <v>20040</v>
      </c>
      <c r="C22" s="1" t="s">
        <v>39</v>
      </c>
      <c r="D22" s="45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61</v>
      </c>
      <c r="B23" s="1">
        <v>20042</v>
      </c>
      <c r="C23" s="1" t="s">
        <v>39</v>
      </c>
      <c r="D23" s="45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62</v>
      </c>
      <c r="B24" s="1">
        <v>20044</v>
      </c>
      <c r="C24" s="1" t="s">
        <v>39</v>
      </c>
      <c r="D24" s="45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63</v>
      </c>
      <c r="B25" s="1">
        <v>20046</v>
      </c>
      <c r="C25" s="1" t="s">
        <v>39</v>
      </c>
      <c r="D25" s="45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64</v>
      </c>
      <c r="B26" s="1">
        <v>20048</v>
      </c>
      <c r="C26" s="1" t="s">
        <v>39</v>
      </c>
      <c r="D26" s="45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65</v>
      </c>
      <c r="B27" s="1">
        <v>20050</v>
      </c>
      <c r="C27" s="1" t="s">
        <v>39</v>
      </c>
      <c r="D27" s="45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66</v>
      </c>
      <c r="B28" s="1">
        <v>20052</v>
      </c>
      <c r="C28" s="1" t="s">
        <v>39</v>
      </c>
      <c r="D28" s="45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67</v>
      </c>
      <c r="B29" s="1">
        <v>20054</v>
      </c>
      <c r="C29" s="1" t="s">
        <v>39</v>
      </c>
      <c r="D29" s="45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68</v>
      </c>
      <c r="B30" s="1">
        <v>20058</v>
      </c>
      <c r="C30" s="1" t="s">
        <v>39</v>
      </c>
      <c r="D30" s="45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69</v>
      </c>
      <c r="B31" s="1">
        <v>20060</v>
      </c>
      <c r="C31" s="1" t="s">
        <v>39</v>
      </c>
      <c r="D31" s="45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70</v>
      </c>
      <c r="B32" s="1">
        <v>21000</v>
      </c>
      <c r="C32" s="1" t="s">
        <v>39</v>
      </c>
      <c r="D32" s="45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71</v>
      </c>
      <c r="B33" s="1">
        <v>21002</v>
      </c>
      <c r="C33" s="1" t="s">
        <v>39</v>
      </c>
      <c r="D33" s="45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72</v>
      </c>
      <c r="B34" s="1">
        <v>21004</v>
      </c>
      <c r="C34" s="1" t="s">
        <v>39</v>
      </c>
      <c r="D34" s="45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73</v>
      </c>
      <c r="B35" s="1">
        <v>21006</v>
      </c>
      <c r="C35" s="1" t="s">
        <v>39</v>
      </c>
      <c r="D35" s="45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74</v>
      </c>
      <c r="B36" s="1">
        <v>21008</v>
      </c>
      <c r="C36" s="1" t="s">
        <v>39</v>
      </c>
      <c r="D36" s="45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75</v>
      </c>
      <c r="B37" s="1">
        <v>21010</v>
      </c>
      <c r="C37" s="1" t="s">
        <v>39</v>
      </c>
      <c r="D37" s="45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76</v>
      </c>
      <c r="B38" s="1">
        <v>21012</v>
      </c>
      <c r="C38" s="1" t="s">
        <v>39</v>
      </c>
      <c r="D38" s="45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77</v>
      </c>
      <c r="B39" s="1">
        <v>21014</v>
      </c>
      <c r="C39" s="1" t="s">
        <v>39</v>
      </c>
      <c r="D39" s="45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78</v>
      </c>
      <c r="B40" s="1">
        <v>21016</v>
      </c>
      <c r="C40" s="1" t="s">
        <v>39</v>
      </c>
      <c r="D40" s="45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A1:X1 A2:C40 E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441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79</v>
      </c>
      <c r="B1" s="4" t="s">
        <v>80</v>
      </c>
      <c r="C1" s="4" t="s">
        <v>81</v>
      </c>
      <c r="E1" s="4" t="s">
        <v>82</v>
      </c>
    </row>
    <row r="2" spans="1:5" x14ac:dyDescent="0.3">
      <c r="A2" s="2"/>
      <c r="B2" s="5" t="s">
        <v>83</v>
      </c>
      <c r="C2" s="2"/>
    </row>
    <row r="3" spans="1:5" x14ac:dyDescent="0.3">
      <c r="A3" s="6">
        <v>1</v>
      </c>
      <c r="B3" s="2" t="s">
        <v>84</v>
      </c>
      <c r="C3" s="2" t="s">
        <v>85</v>
      </c>
      <c r="E3" s="1">
        <v>5</v>
      </c>
    </row>
    <row r="4" spans="1:5" x14ac:dyDescent="0.3">
      <c r="A4" s="6">
        <v>2</v>
      </c>
      <c r="B4" s="2" t="s">
        <v>86</v>
      </c>
      <c r="C4" s="2"/>
      <c r="E4" s="1">
        <v>5</v>
      </c>
    </row>
    <row r="5" spans="1:5" x14ac:dyDescent="0.3">
      <c r="A5" s="6">
        <v>3</v>
      </c>
      <c r="B5" s="2" t="s">
        <v>87</v>
      </c>
      <c r="C5" s="51" t="s">
        <v>88</v>
      </c>
      <c r="D5" s="1" t="s">
        <v>89</v>
      </c>
      <c r="E5" s="1">
        <v>10</v>
      </c>
    </row>
    <row r="6" spans="1:5" x14ac:dyDescent="0.3">
      <c r="A6" s="6">
        <v>4</v>
      </c>
      <c r="B6" s="2" t="s">
        <v>90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9</v>
      </c>
      <c r="B1" s="40" t="s">
        <v>91</v>
      </c>
    </row>
    <row r="2" spans="1:7" s="40" customFormat="1" ht="21" x14ac:dyDescent="0.4">
      <c r="B2" s="40" t="s">
        <v>92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93</v>
      </c>
      <c r="B4" s="1"/>
      <c r="C4" s="1"/>
      <c r="D4" s="1"/>
      <c r="E4" s="1"/>
      <c r="F4" s="1"/>
      <c r="G4" s="1"/>
    </row>
    <row r="5" spans="1:7" ht="14.4" x14ac:dyDescent="0.3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14.4" x14ac:dyDescent="0.3">
      <c r="A6" s="7" t="s">
        <v>38</v>
      </c>
      <c r="B6" s="12">
        <f>VLOOKUP(Dataset!A2,Dataset!A2:X40,7,FALSE)</f>
        <v>2.7</v>
      </c>
      <c r="C6" s="12">
        <f>VLOOKUP(Dataset!A2,Dataset!A2:Q40,14,FALSE)</f>
        <v>7.6</v>
      </c>
      <c r="D6" s="12">
        <f>VLOOKUP(Dataset!A2,Dataset!A2:X40,18,FALSE)</f>
        <v>4.2</v>
      </c>
      <c r="E6" s="12">
        <f>VLOOKUP(Dataset!A2,Dataset!A2:X40,20,FALSE)</f>
        <v>8.9</v>
      </c>
      <c r="F6" s="8">
        <f>VLOOKUP(Dataset!A2,Dataset!A2:X40,22,FALSE)</f>
        <v>4.2</v>
      </c>
    </row>
    <row r="7" spans="1:7" ht="14.4" x14ac:dyDescent="0.3">
      <c r="A7" s="7" t="s">
        <v>41</v>
      </c>
      <c r="B7" s="12">
        <f>VLOOKUP(Dataset!A3,Dataset!A3:X41,7,FALSE)</f>
        <v>2.7</v>
      </c>
      <c r="C7" s="12">
        <f>VLOOKUP(Dataset!A3,Dataset!A3:Q41,14,FALSE)</f>
        <v>7.6</v>
      </c>
      <c r="D7" s="12">
        <f>VLOOKUP(Dataset!A3,Dataset!A3:X41,18,FALSE)</f>
        <v>4.2</v>
      </c>
      <c r="E7" s="12">
        <f>VLOOKUP(Dataset!A3,Dataset!A3:X41,20,FALSE)</f>
        <v>8.9</v>
      </c>
      <c r="F7" s="8">
        <f>VLOOKUP(Dataset!A3,Dataset!A3:X41,22,FALSE)</f>
        <v>4.2</v>
      </c>
    </row>
    <row r="8" spans="1:7" ht="14.4" x14ac:dyDescent="0.3">
      <c r="A8" s="7" t="s">
        <v>42</v>
      </c>
      <c r="B8" s="12">
        <f>VLOOKUP(Dataset!A4,Dataset!A4:X42,7,FALSE)</f>
        <v>3.6</v>
      </c>
      <c r="C8" s="12">
        <f>VLOOKUP(Dataset!A4,Dataset!A4:Q42,14,FALSE)</f>
        <v>11.1</v>
      </c>
      <c r="D8" s="12">
        <f>VLOOKUP(Dataset!A4,Dataset!A4:X42,18,FALSE)</f>
        <v>5.8</v>
      </c>
      <c r="E8" s="12">
        <f>VLOOKUP(Dataset!A4,Dataset!A4:X42,20,FALSE)</f>
        <v>12.2</v>
      </c>
      <c r="F8" s="8">
        <f>VLOOKUP(Dataset!A4,Dataset!A4:X42,22,FALSE)</f>
        <v>5.8</v>
      </c>
    </row>
    <row r="9" spans="1:7" ht="14.4" x14ac:dyDescent="0.3">
      <c r="A9" s="7" t="s">
        <v>43</v>
      </c>
      <c r="B9" s="12">
        <f>VLOOKUP(Dataset!A5,Dataset!A5:X43,7,FALSE)</f>
        <v>4.9000000000000004</v>
      </c>
      <c r="C9" s="12">
        <f>VLOOKUP(Dataset!A5,Dataset!A5:Q43,14,FALSE)</f>
        <v>13.3</v>
      </c>
      <c r="D9" s="12">
        <f>VLOOKUP(Dataset!A5,Dataset!A5:X43,18,FALSE)</f>
        <v>8.1</v>
      </c>
      <c r="E9" s="12">
        <f>VLOOKUP(Dataset!A5,Dataset!A5:X43,20,FALSE)</f>
        <v>17</v>
      </c>
      <c r="F9" s="8">
        <f>VLOOKUP(Dataset!A5,Dataset!A5:X43,22,FALSE)</f>
        <v>8.1</v>
      </c>
    </row>
    <row r="10" spans="1:7" ht="14.4" x14ac:dyDescent="0.3">
      <c r="A10" s="7" t="s">
        <v>46</v>
      </c>
      <c r="B10" s="12">
        <f>VLOOKUP(Dataset!A8,Dataset!A6:X44,7,FALSE)</f>
        <v>9.4</v>
      </c>
      <c r="C10" s="12">
        <f>VLOOKUP(Dataset!A8,Dataset!A6:Q44,14,FALSE)</f>
        <v>28.3</v>
      </c>
      <c r="D10" s="12">
        <f>VLOOKUP(Dataset!A8,Dataset!A6:X44,18,FALSE)</f>
        <v>16.100000000000001</v>
      </c>
      <c r="E10" s="12">
        <f>VLOOKUP(Dataset!A8,Dataset!A6:X44,20,FALSE)</f>
        <v>32.799999999999997</v>
      </c>
      <c r="F10" s="8">
        <f>VLOOKUP(Dataset!A8,Dataset!A6:X44,22,FALSE)</f>
        <v>16.100000000000001</v>
      </c>
    </row>
    <row r="11" spans="1:7" ht="14.4" x14ac:dyDescent="0.3">
      <c r="A11" s="7" t="s">
        <v>47</v>
      </c>
      <c r="B11" s="12">
        <f>VLOOKUP(Dataset!A9,Dataset!A7:X45,7,FALSE)</f>
        <v>11.6</v>
      </c>
      <c r="C11" s="12">
        <f>VLOOKUP(Dataset!A9,Dataset!A7:Q45,14,FALSE)</f>
        <v>35.200000000000003</v>
      </c>
      <c r="D11" s="12">
        <f>VLOOKUP(Dataset!A9,Dataset!A7:X45,18,FALSE)</f>
        <v>21.3</v>
      </c>
      <c r="E11" s="12">
        <f>VLOOKUP(Dataset!A9,Dataset!A7:X45,20,FALSE)</f>
        <v>43</v>
      </c>
      <c r="F11" s="8">
        <f>VLOOKUP(Dataset!A9,Dataset!A7:X45,22,FALSE)</f>
        <v>21.3</v>
      </c>
    </row>
    <row r="12" spans="1:7" ht="14.4" x14ac:dyDescent="0.3">
      <c r="A12" s="7" t="s">
        <v>49</v>
      </c>
      <c r="B12" s="12">
        <f>VLOOKUP(Dataset!A11,Dataset!A8:X46,7,FALSE)</f>
        <v>18.399999999999999</v>
      </c>
      <c r="C12" s="12">
        <f>VLOOKUP(Dataset!A11,Dataset!A8:Q46,14,FALSE)</f>
        <v>55.6</v>
      </c>
      <c r="D12" s="12">
        <f>VLOOKUP(Dataset!A11,Dataset!A8:X46,18,FALSE)</f>
        <v>33.799999999999997</v>
      </c>
      <c r="E12" s="12">
        <f>VLOOKUP(Dataset!A11,Dataset!A8:X46,20,FALSE)</f>
        <v>67.900000000000006</v>
      </c>
      <c r="F12" s="8">
        <f>VLOOKUP(Dataset!A11,Dataset!A8:X46,22,FALSE)</f>
        <v>33.799999999999997</v>
      </c>
    </row>
    <row r="13" spans="1:7" ht="14.4" x14ac:dyDescent="0.3">
      <c r="A13" s="7" t="s">
        <v>50</v>
      </c>
      <c r="B13" s="12">
        <f>VLOOKUP(Dataset!A12,Dataset!A9:X47,7,FALSE)</f>
        <v>0</v>
      </c>
      <c r="C13" s="12">
        <f>VLOOKUP(Dataset!A12,Dataset!A9:Q47,14,FALSE)</f>
        <v>0</v>
      </c>
      <c r="D13" s="12">
        <f>VLOOKUP(Dataset!A12,Dataset!A9:X47,18,FALSE)</f>
        <v>0</v>
      </c>
      <c r="E13" s="12">
        <f>VLOOKUP(Dataset!A12,Dataset!A9:X47,20,FALSE)</f>
        <v>0</v>
      </c>
      <c r="F13" s="8">
        <f>VLOOKUP(Dataset!A12,Dataset!A9:X47,22,FALSE)</f>
        <v>0</v>
      </c>
    </row>
    <row r="14" spans="1:7" ht="14.4" x14ac:dyDescent="0.3">
      <c r="A14" s="7" t="s">
        <v>51</v>
      </c>
      <c r="B14" s="12">
        <f>VLOOKUP(Dataset!A13,Dataset!A10:X48,7,FALSE)</f>
        <v>21.9</v>
      </c>
      <c r="C14" s="12">
        <f>VLOOKUP(Dataset!A13,Dataset!A10:Q48,14,FALSE)</f>
        <v>61.5</v>
      </c>
      <c r="D14" s="12">
        <f>VLOOKUP(Dataset!A13,Dataset!A10:X48,18,FALSE)</f>
        <v>40.1</v>
      </c>
      <c r="E14" s="12">
        <f>VLOOKUP(Dataset!A13,Dataset!A10:X48,20,FALSE)</f>
        <v>76.599999999999994</v>
      </c>
      <c r="F14" s="8">
        <f>VLOOKUP(Dataset!A13,Dataset!A10:X48,22,FALSE)</f>
        <v>40.1</v>
      </c>
    </row>
    <row r="15" spans="1:7" ht="14.4" x14ac:dyDescent="0.3">
      <c r="A15" s="7" t="s">
        <v>53</v>
      </c>
      <c r="B15" s="12">
        <f>VLOOKUP(Dataset!A15,Dataset!A11:X49,7,FALSE)</f>
        <v>26.8</v>
      </c>
      <c r="C15" s="12">
        <f>VLOOKUP(Dataset!A15,Dataset!A11:Q49,14,FALSE)</f>
        <v>79.599999999999994</v>
      </c>
      <c r="D15" s="12">
        <f>VLOOKUP(Dataset!A15,Dataset!A11:X49,18,FALSE)</f>
        <v>47.9</v>
      </c>
      <c r="E15" s="12">
        <f>VLOOKUP(Dataset!A15,Dataset!A11:X49,20,FALSE)</f>
        <v>96.8</v>
      </c>
      <c r="F15" s="8">
        <f>VLOOKUP(Dataset!A15,Dataset!A11:X49,22,FALSE)</f>
        <v>47.9</v>
      </c>
    </row>
    <row r="16" spans="1:7" ht="14.4" x14ac:dyDescent="0.3">
      <c r="A16" s="7" t="s">
        <v>55</v>
      </c>
      <c r="B16" s="12">
        <f>VLOOKUP(Dataset!A17,Dataset!A12:X50,7,FALSE)</f>
        <v>28.5</v>
      </c>
      <c r="C16" s="12">
        <f>VLOOKUP(Dataset!A17,Dataset!A12:Q50,14,FALSE)</f>
        <v>85.4</v>
      </c>
      <c r="D16" s="12">
        <f>VLOOKUP(Dataset!A17,Dataset!A12:X50,18,FALSE)</f>
        <v>52.3</v>
      </c>
      <c r="E16" s="12">
        <f>VLOOKUP(Dataset!A17,Dataset!A12:X50,20,FALSE)</f>
        <v>106.1</v>
      </c>
      <c r="F16" s="8">
        <f>VLOOKUP(Dataset!A17,Dataset!A12:X50,22,FALSE)</f>
        <v>52.3</v>
      </c>
    </row>
    <row r="17" spans="1:6" ht="14.4" x14ac:dyDescent="0.3">
      <c r="A17" s="7" t="s">
        <v>57</v>
      </c>
      <c r="B17" s="12">
        <f>VLOOKUP(Dataset!A19,Dataset!A13:X51,7,FALSE)</f>
        <v>30.7</v>
      </c>
      <c r="C17" s="12">
        <f>VLOOKUP(Dataset!A19,Dataset!A13:Q51,14,FALSE)</f>
        <v>92.1</v>
      </c>
      <c r="D17" s="12">
        <f>VLOOKUP(Dataset!A19,Dataset!A13:X51,18,FALSE)</f>
        <v>57</v>
      </c>
      <c r="E17" s="12">
        <f>VLOOKUP(Dataset!A19,Dataset!A13:X51,20,FALSE)</f>
        <v>115.1</v>
      </c>
      <c r="F17" s="8">
        <f>VLOOKUP(Dataset!A19,Dataset!A13:X51,22,FALSE)</f>
        <v>57</v>
      </c>
    </row>
    <row r="18" spans="1:6" ht="14.4" x14ac:dyDescent="0.3">
      <c r="A18" s="7" t="s">
        <v>58</v>
      </c>
      <c r="B18" s="12">
        <f>VLOOKUP(Dataset!A20,Dataset!A14:X52,7,FALSE)</f>
        <v>33.799999999999997</v>
      </c>
      <c r="C18" s="12">
        <f>VLOOKUP(Dataset!A20,Dataset!A14:Q52,14,FALSE)</f>
        <v>101.3</v>
      </c>
      <c r="D18" s="12">
        <f>VLOOKUP(Dataset!A20,Dataset!A14:X52,18,FALSE)</f>
        <v>61.4</v>
      </c>
      <c r="E18" s="12">
        <f>VLOOKUP(Dataset!A20,Dataset!A14:X52,20,FALSE)</f>
        <v>124.4</v>
      </c>
      <c r="F18" s="8">
        <f>VLOOKUP(Dataset!A20,Dataset!A14:X52,22,FALSE)</f>
        <v>61.4</v>
      </c>
    </row>
    <row r="19" spans="1:6" ht="14.4" x14ac:dyDescent="0.3">
      <c r="A19" s="7" t="s">
        <v>59</v>
      </c>
      <c r="B19" s="12">
        <f>VLOOKUP(Dataset!A21,Dataset!A15:X53,7,FALSE)</f>
        <v>34.700000000000003</v>
      </c>
      <c r="C19" s="12">
        <f>VLOOKUP(Dataset!A21,Dataset!A15:Q53,14,FALSE)</f>
        <v>106.1</v>
      </c>
      <c r="D19" s="12">
        <f>VLOOKUP(Dataset!A21,Dataset!A15:X53,18,FALSE)</f>
        <v>63.6</v>
      </c>
      <c r="E19" s="12">
        <f>VLOOKUP(Dataset!A21,Dataset!A15:X53,20,FALSE)</f>
        <v>128.6</v>
      </c>
      <c r="F19" s="8">
        <f>VLOOKUP(Dataset!A21,Dataset!A15:X53,22,FALSE)</f>
        <v>63.6</v>
      </c>
    </row>
    <row r="20" spans="1:6" ht="14.4" x14ac:dyDescent="0.3">
      <c r="A20" s="7" t="s">
        <v>64</v>
      </c>
      <c r="B20" s="12">
        <f>VLOOKUP(Dataset!A26,Dataset!A16:X54,7,FALSE)</f>
        <v>0</v>
      </c>
      <c r="C20" s="12">
        <f>VLOOKUP(Dataset!A26,Dataset!A16:Q54,14,FALSE)</f>
        <v>0</v>
      </c>
      <c r="D20" s="12">
        <f>VLOOKUP(Dataset!A26,Dataset!A16:X54,18,FALSE)</f>
        <v>0</v>
      </c>
      <c r="E20" s="12">
        <f>VLOOKUP(Dataset!A26,Dataset!A16:X54,20,FALSE)</f>
        <v>0</v>
      </c>
      <c r="F20" s="8">
        <f>VLOOKUP(Dataset!A26,Dataset!A16:X54,22,FALSE)</f>
        <v>0</v>
      </c>
    </row>
    <row r="21" spans="1:6" ht="14.4" x14ac:dyDescent="0.3">
      <c r="A21" s="7" t="s">
        <v>65</v>
      </c>
      <c r="B21" s="12">
        <f>VLOOKUP(Dataset!A27,Dataset!A17:X55,7,FALSE)</f>
        <v>41.3</v>
      </c>
      <c r="C21" s="12">
        <f>VLOOKUP(Dataset!A27,Dataset!A17:Q55,14,FALSE)</f>
        <v>124.4</v>
      </c>
      <c r="D21" s="12">
        <f>VLOOKUP(Dataset!A27,Dataset!A17:X55,18,FALSE)</f>
        <v>75</v>
      </c>
      <c r="E21" s="12">
        <f>VLOOKUP(Dataset!A27,Dataset!A17:X55,20,FALSE)</f>
        <v>151.5</v>
      </c>
      <c r="F21" s="8">
        <f>VLOOKUP(Dataset!A27,Dataset!A17:X55,22,FALSE)</f>
        <v>75</v>
      </c>
    </row>
    <row r="22" spans="1:6" ht="14.4" x14ac:dyDescent="0.3">
      <c r="A22" s="7" t="s">
        <v>68</v>
      </c>
      <c r="B22" s="12">
        <f>VLOOKUP(Dataset!A30,Dataset!A18:X56,7,FALSE)</f>
        <v>-1</v>
      </c>
      <c r="C22" s="12">
        <f>VLOOKUP(Dataset!A30,Dataset!A18:Q56,14,FALSE)</f>
        <v>-1</v>
      </c>
      <c r="D22" s="12">
        <f>VLOOKUP(Dataset!A30,Dataset!A18:X56,18,FALSE)</f>
        <v>-1</v>
      </c>
      <c r="E22" s="12">
        <f>VLOOKUP(Dataset!A30,Dataset!A18:X56,20,FALSE)</f>
        <v>-1</v>
      </c>
      <c r="F22" s="8">
        <f>VLOOKUP(Dataset!A30,Dataset!A18:X56,22,FALSE)</f>
        <v>-1</v>
      </c>
    </row>
    <row r="23" spans="1:6" ht="14.4" x14ac:dyDescent="0.3">
      <c r="A23" s="7" t="s">
        <v>69</v>
      </c>
      <c r="B23" s="12">
        <f>VLOOKUP(Dataset!A31,Dataset!A19:X57,7,FALSE)</f>
        <v>45</v>
      </c>
      <c r="C23" s="12">
        <f>VLOOKUP(Dataset!A31,Dataset!A19:Q57,14,FALSE)</f>
        <v>133.4</v>
      </c>
      <c r="D23" s="12">
        <f>VLOOKUP(Dataset!A31,Dataset!A19:X57,18,FALSE)</f>
        <v>79.400000000000006</v>
      </c>
      <c r="E23" s="12">
        <f>VLOOKUP(Dataset!A31,Dataset!A19:X57,20,FALSE)</f>
        <v>160.9</v>
      </c>
      <c r="F23" s="8">
        <f>VLOOKUP(Dataset!A31,Dataset!A19:X57,22,FALSE)</f>
        <v>79.400000000000006</v>
      </c>
    </row>
    <row r="24" spans="1:6" ht="14.4" x14ac:dyDescent="0.3">
      <c r="A24" s="7" t="s">
        <v>70</v>
      </c>
      <c r="B24" s="12">
        <f>VLOOKUP(Dataset!A32,Dataset!A20:X58,7,FALSE)</f>
        <v>-1</v>
      </c>
      <c r="C24" s="12">
        <f>VLOOKUP(Dataset!A32,Dataset!A20:Q58,14,FALSE)</f>
        <v>-1</v>
      </c>
      <c r="D24" s="12">
        <f>VLOOKUP(Dataset!A32,Dataset!A20:X58,18,FALSE)</f>
        <v>-1</v>
      </c>
      <c r="E24" s="12">
        <f>VLOOKUP(Dataset!A32,Dataset!A20:X58,20,FALSE)</f>
        <v>-1</v>
      </c>
      <c r="F24" s="8">
        <f>VLOOKUP(Dataset!A32,Dataset!A20:X58,22,FALSE)</f>
        <v>-1</v>
      </c>
    </row>
    <row r="25" spans="1:6" ht="14.4" x14ac:dyDescent="0.3">
      <c r="A25" s="7" t="s">
        <v>72</v>
      </c>
      <c r="B25" s="12">
        <f>VLOOKUP(Dataset!A34,Dataset!A21:X59,7,FALSE)</f>
        <v>43.3</v>
      </c>
      <c r="C25" s="12">
        <f>VLOOKUP(Dataset!A34,Dataset!A21:Q59,14,FALSE)</f>
        <v>128.6</v>
      </c>
      <c r="D25" s="12">
        <f>VLOOKUP(Dataset!A34,Dataset!A21:X59,18,FALSE)</f>
        <v>79.400000000000006</v>
      </c>
      <c r="E25" s="12">
        <f>VLOOKUP(Dataset!A34,Dataset!A21:X59,20,FALSE)</f>
        <v>160.9</v>
      </c>
      <c r="F25" s="8">
        <f>VLOOKUP(Dataset!A34,Dataset!A21:X59,22,FALSE)</f>
        <v>79.400000000000006</v>
      </c>
    </row>
    <row r="26" spans="1:6" ht="14.4" x14ac:dyDescent="0.3">
      <c r="A26" s="7" t="s">
        <v>76</v>
      </c>
      <c r="B26" s="12">
        <f>VLOOKUP(Dataset!A38,Dataset!A22:X60,7,FALSE)</f>
        <v>49.1</v>
      </c>
      <c r="C26" s="12">
        <f>VLOOKUP(Dataset!A38,Dataset!A22:Q60,14,FALSE)</f>
        <v>146.80000000000001</v>
      </c>
      <c r="D26" s="12">
        <f>VLOOKUP(Dataset!A38,Dataset!A22:X60,18,FALSE)</f>
        <v>90.9</v>
      </c>
      <c r="E26" s="12">
        <f>VLOOKUP(Dataset!A38,Dataset!A22:X60,20,FALSE)</f>
        <v>183.5</v>
      </c>
      <c r="F26" s="8">
        <f>VLOOKUP(Dataset!A38,Dataset!A22:X60,22,FALSE)</f>
        <v>90.9</v>
      </c>
    </row>
    <row r="27" spans="1:6" ht="14.4" x14ac:dyDescent="0.3">
      <c r="A27" s="7" t="s">
        <v>78</v>
      </c>
      <c r="B27" s="12">
        <f>VLOOKUP(Dataset!A40,Dataset!A23:X61,7,FALSE)</f>
        <v>51.8</v>
      </c>
      <c r="C27" s="12">
        <f>VLOOKUP(Dataset!A40,Dataset!A23:Q61,14,FALSE)</f>
        <v>156.4</v>
      </c>
      <c r="D27" s="12">
        <f>VLOOKUP(Dataset!A40,Dataset!A23:X61,18,FALSE)</f>
        <v>93.1</v>
      </c>
      <c r="E27" s="12">
        <f>VLOOKUP(Dataset!A40,Dataset!A23:X61,20,FALSE)</f>
        <v>188.1</v>
      </c>
      <c r="F27" s="8">
        <f>VLOOKUP(Dataset!A40,Dataset!A23:X61,22,FALSE)</f>
        <v>93.1</v>
      </c>
    </row>
    <row r="28" spans="1:6" ht="14.4" x14ac:dyDescent="0.3">
      <c r="A28" s="19" t="s">
        <v>94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95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96</v>
      </c>
      <c r="B30" s="47">
        <f>AVERAGE(B6:B27)</f>
        <v>20.827272727272728</v>
      </c>
      <c r="C30" s="47">
        <f>AVERAGE(C6:C27)</f>
        <v>62.377272727272725</v>
      </c>
      <c r="D30" s="47">
        <f>AVERAGE(D6:D27)</f>
        <v>37.800000000000004</v>
      </c>
      <c r="E30" s="47">
        <f>AVERAGE(E6:E27)</f>
        <v>76.418181818181822</v>
      </c>
      <c r="F30" s="47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5"/>
  <sheetViews>
    <sheetView zoomScaleNormal="100" workbookViewId="0">
      <selection activeCell="B17" sqref="B17"/>
    </sheetView>
  </sheetViews>
  <sheetFormatPr defaultColWidth="11" defaultRowHeight="14.4" x14ac:dyDescent="0.3"/>
  <cols>
    <col min="1" max="1" width="39.77734375" style="1" bestFit="1" customWidth="1"/>
    <col min="2" max="2" width="9.77734375" style="1" customWidth="1"/>
    <col min="3" max="16384" width="11" style="1"/>
  </cols>
  <sheetData>
    <row r="1" spans="1:10" s="40" customFormat="1" ht="21" x14ac:dyDescent="0.4">
      <c r="A1" s="41" t="s">
        <v>10</v>
      </c>
      <c r="B1" s="40" t="s">
        <v>97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98</v>
      </c>
    </row>
    <row r="5" spans="1:10" ht="18" x14ac:dyDescent="0.35">
      <c r="A5" s="42" t="s">
        <v>99</v>
      </c>
      <c r="B5" s="3" t="s">
        <v>100</v>
      </c>
    </row>
    <row r="6" spans="1:10" ht="19.5" customHeight="1" x14ac:dyDescent="0.35">
      <c r="A6" s="42" t="s">
        <v>101</v>
      </c>
      <c r="B6" s="1" t="s">
        <v>102</v>
      </c>
    </row>
    <row r="7" spans="1:10" ht="18" x14ac:dyDescent="0.35">
      <c r="A7" s="42"/>
      <c r="B7" s="48"/>
    </row>
    <row r="8" spans="1:10" ht="18" x14ac:dyDescent="0.35">
      <c r="A8" s="42"/>
      <c r="B8" s="39"/>
    </row>
    <row r="10" spans="1:10" ht="23.4" x14ac:dyDescent="0.45">
      <c r="A10" s="18" t="s">
        <v>103</v>
      </c>
      <c r="I10" s="2"/>
      <c r="J10" s="2"/>
    </row>
    <row r="11" spans="1:10" x14ac:dyDescent="0.3">
      <c r="A11" s="33" t="s">
        <v>104</v>
      </c>
      <c r="B11" s="17" t="s">
        <v>105</v>
      </c>
      <c r="C11" s="17" t="s">
        <v>106</v>
      </c>
      <c r="D11" s="17" t="s">
        <v>107</v>
      </c>
      <c r="E11" s="17" t="s">
        <v>108</v>
      </c>
      <c r="F11" s="17" t="s">
        <v>109</v>
      </c>
      <c r="I11" s="2"/>
      <c r="J11" s="2"/>
    </row>
    <row r="12" spans="1:10" x14ac:dyDescent="0.3">
      <c r="A12" s="9" t="s">
        <v>110</v>
      </c>
      <c r="B12" s="13">
        <v>20000</v>
      </c>
      <c r="C12" s="13" t="s">
        <v>39</v>
      </c>
      <c r="D12" s="13">
        <v>0</v>
      </c>
      <c r="E12" s="11" t="s">
        <v>40</v>
      </c>
      <c r="F12" s="11">
        <v>24</v>
      </c>
      <c r="I12" s="2"/>
      <c r="J12" s="2"/>
    </row>
    <row r="15" spans="1:10" ht="23.4" x14ac:dyDescent="0.45">
      <c r="A15" s="18" t="s">
        <v>93</v>
      </c>
    </row>
    <row r="16" spans="1:10" x14ac:dyDescent="0.3">
      <c r="A16" s="14" t="s">
        <v>111</v>
      </c>
      <c r="B16" s="17" t="s">
        <v>105</v>
      </c>
      <c r="C16" s="15" t="s">
        <v>106</v>
      </c>
      <c r="D16" s="17" t="s">
        <v>107</v>
      </c>
      <c r="E16" s="15" t="s">
        <v>108</v>
      </c>
      <c r="F16" s="17" t="s">
        <v>109</v>
      </c>
    </row>
    <row r="17" spans="1:6" x14ac:dyDescent="0.3">
      <c r="A17" s="7" t="s">
        <v>110</v>
      </c>
      <c r="B17" s="12" t="str" cm="1">
        <f t="array" ref="B17:F17">_xlfn.TEXTSPLIT(A17, "-", ", ")</f>
        <v>20000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3">
      <c r="A18" s="7" t="s">
        <v>112</v>
      </c>
      <c r="B18" s="12" t="str" cm="1">
        <f t="array" ref="B18:F18">_xlfn.TEXTSPLIT(A18, "-", ", ")</f>
        <v>20002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3">
      <c r="A19" s="7" t="s">
        <v>113</v>
      </c>
      <c r="B19" s="12" t="str" cm="1">
        <f t="array" ref="B19:F19">_xlfn.TEXTSPLIT(A19, "-", ", ")</f>
        <v>20004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3">
      <c r="A20" s="7" t="s">
        <v>114</v>
      </c>
      <c r="B20" s="12" t="str" cm="1">
        <f t="array" ref="B20:F20">_xlfn.TEXTSPLIT(A20, "-", ", ")</f>
        <v>20006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3">
      <c r="A21" s="7" t="s">
        <v>115</v>
      </c>
      <c r="B21" s="12" t="str" cm="1">
        <f t="array" ref="B21:F21">_xlfn.TEXTSPLIT(A21, "-", ", ")</f>
        <v>20008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3">
      <c r="A22" s="7" t="s">
        <v>116</v>
      </c>
      <c r="B22" s="12" t="str" cm="1">
        <f t="array" ref="B22:F22">_xlfn.TEXTSPLIT(A22, "-", ", ")</f>
        <v>20010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3">
      <c r="A23" s="7" t="s">
        <v>117</v>
      </c>
      <c r="B23" s="12" t="str" cm="1">
        <f t="array" ref="B23:F23">_xlfn.TEXTSPLIT(A23, "-", ", ")</f>
        <v>20012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3">
      <c r="A24" s="7" t="s">
        <v>118</v>
      </c>
      <c r="B24" s="12" t="str" cm="1">
        <f t="array" ref="B24:F24">_xlfn.TEXTSPLIT(A24, "-", ", ")</f>
        <v>20014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3">
      <c r="A25" s="7" t="s">
        <v>119</v>
      </c>
      <c r="B25" s="12" t="str" cm="1">
        <f t="array" ref="B25:F25">_xlfn.TEXTSPLIT(A25, "-", ", ")</f>
        <v>20016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3">
      <c r="A26" s="7" t="s">
        <v>120</v>
      </c>
      <c r="B26" s="12" t="str" cm="1">
        <f t="array" ref="B26:F26">_xlfn.TEXTSPLIT(A26, "-", ", ")</f>
        <v>20018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3">
      <c r="A27" s="7" t="s">
        <v>121</v>
      </c>
      <c r="B27" s="12" t="str" cm="1">
        <f t="array" ref="B27:F27">_xlfn.TEXTSPLIT(A27, "-", ", ")</f>
        <v>20020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3">
      <c r="A28" s="7" t="s">
        <v>122</v>
      </c>
      <c r="B28" s="12" t="str" cm="1">
        <f t="array" ref="B28:F28">_xlfn.TEXTSPLIT(A28, "-", ", ")</f>
        <v>20022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3">
      <c r="A29" s="7" t="s">
        <v>123</v>
      </c>
      <c r="B29" s="12" t="str" cm="1">
        <f t="array" ref="B29:F29">_xlfn.TEXTSPLIT(A29, "-", ", ")</f>
        <v>20024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3">
      <c r="A30" s="7" t="s">
        <v>124</v>
      </c>
      <c r="B30" s="12" t="str" cm="1">
        <f t="array" ref="B30:F30">_xlfn.TEXTSPLIT(A30, "-", ", ")</f>
        <v>20026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3">
      <c r="A31" s="7" t="s">
        <v>125</v>
      </c>
      <c r="B31" s="12" t="str" cm="1">
        <f t="array" ref="B31:F31">_xlfn.TEXTSPLIT(A31, "-", ", ")</f>
        <v>20028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3">
      <c r="A32" s="7" t="s">
        <v>126</v>
      </c>
      <c r="B32" s="12" t="str" cm="1">
        <f t="array" ref="B32:F32">_xlfn.TEXTSPLIT(A32, "-", ", ")</f>
        <v>20030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3">
      <c r="A33" s="7" t="s">
        <v>127</v>
      </c>
      <c r="B33" s="12" t="str" cm="1">
        <f t="array" ref="B33:F33">_xlfn.TEXTSPLIT(A33, "-", ", ")</f>
        <v>20032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3">
      <c r="A34" s="7" t="s">
        <v>128</v>
      </c>
      <c r="B34" s="12" t="str" cm="1">
        <f t="array" ref="B34:F34">_xlfn.TEXTSPLIT(A34, "-", ", ")</f>
        <v>20034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3">
      <c r="A35" s="7" t="s">
        <v>129</v>
      </c>
      <c r="B35" s="12" t="str" cm="1">
        <f t="array" ref="B35:F35">_xlfn.TEXTSPLIT(A35, "-", ", ")</f>
        <v>20036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3">
      <c r="A36" s="7" t="s">
        <v>130</v>
      </c>
      <c r="B36" s="12" t="str" cm="1">
        <f t="array" ref="B36:F36">_xlfn.TEXTSPLIT(A36, "-", ", ")</f>
        <v>20038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3">
      <c r="A37" s="7" t="s">
        <v>131</v>
      </c>
      <c r="B37" s="12" t="str" cm="1">
        <f t="array" ref="B37:F37">_xlfn.TEXTSPLIT(A37, "-", ", ")</f>
        <v>20040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3">
      <c r="A38" s="7" t="s">
        <v>132</v>
      </c>
      <c r="B38" s="12" t="str" cm="1">
        <f t="array" ref="B38:F38">_xlfn.TEXTSPLIT(A38, "-", ", ")</f>
        <v>20042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3">
      <c r="A39" s="7" t="s">
        <v>133</v>
      </c>
      <c r="B39" s="12" t="str" cm="1">
        <f t="array" ref="B39:F39">_xlfn.TEXTSPLIT(A39, "-", ", ")</f>
        <v>20044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3">
      <c r="A40" s="7" t="s">
        <v>134</v>
      </c>
      <c r="B40" s="12" t="str" cm="1">
        <f t="array" ref="B40:F40">_xlfn.TEXTSPLIT(A40, "-", ", ")</f>
        <v>20046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3">
      <c r="A41" s="7" t="s">
        <v>135</v>
      </c>
      <c r="B41" s="12" t="str" cm="1">
        <f t="array" ref="B41:F41">_xlfn.TEXTSPLIT(A41, "-", ", ")</f>
        <v>20048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3">
      <c r="A42" s="7" t="s">
        <v>136</v>
      </c>
      <c r="B42" s="12" t="str" cm="1">
        <f t="array" ref="B42:F42">_xlfn.TEXTSPLIT(A42, "-", ", ")</f>
        <v>20050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3">
      <c r="A43" s="7" t="s">
        <v>137</v>
      </c>
      <c r="B43" s="12" t="str" cm="1">
        <f t="array" ref="B43:F43">_xlfn.TEXTSPLIT(A43, "-", ", ")</f>
        <v>20052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3">
      <c r="A44" s="7" t="s">
        <v>138</v>
      </c>
      <c r="B44" s="12" t="str" cm="1">
        <f t="array" ref="B44:F44">_xlfn.TEXTSPLIT(A44, "-", ", ")</f>
        <v>20054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3">
      <c r="A45" s="7" t="s">
        <v>139</v>
      </c>
      <c r="B45" s="12" t="str" cm="1">
        <f t="array" ref="B45:F45">_xlfn.TEXTSPLIT(A45, "-", ", ")</f>
        <v>20058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3">
      <c r="A46" s="7" t="s">
        <v>140</v>
      </c>
      <c r="B46" s="12" t="str" cm="1">
        <f t="array" ref="B46:F46">_xlfn.TEXTSPLIT(A46, "-", ", ")</f>
        <v>20060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3">
      <c r="A47" s="7" t="s">
        <v>141</v>
      </c>
      <c r="B47" s="12" t="str" cm="1">
        <f t="array" ref="B47:F47">_xlfn.TEXTSPLIT(A47, "-", ", ")</f>
        <v>21000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3">
      <c r="A48" s="7" t="s">
        <v>142</v>
      </c>
      <c r="B48" s="12" t="str" cm="1">
        <f t="array" ref="B48:F48">_xlfn.TEXTSPLIT(A48, "-", ", ")</f>
        <v>21002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3">
      <c r="A49" s="7" t="s">
        <v>143</v>
      </c>
      <c r="B49" s="12" t="str" cm="1">
        <f t="array" ref="B49:F49">_xlfn.TEXTSPLIT(A49, "-", ", ")</f>
        <v>21004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3">
      <c r="A50" s="7" t="s">
        <v>144</v>
      </c>
      <c r="B50" s="12" t="str" cm="1">
        <f t="array" ref="B50:F50">_xlfn.TEXTSPLIT(A50, "-", ", ")</f>
        <v>21006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3">
      <c r="A51" s="7" t="s">
        <v>145</v>
      </c>
      <c r="B51" s="12" t="str" cm="1">
        <f t="array" ref="B51:F51">_xlfn.TEXTSPLIT(A51, "-", ", ")</f>
        <v>21008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3">
      <c r="A52" s="7" t="s">
        <v>146</v>
      </c>
      <c r="B52" s="12" t="str" cm="1">
        <f t="array" ref="B52:F52">_xlfn.TEXTSPLIT(A52, "-", ", ")</f>
        <v>21010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3">
      <c r="A53" s="7" t="s">
        <v>147</v>
      </c>
      <c r="B53" s="12" t="str" cm="1">
        <f t="array" ref="B53:F53">_xlfn.TEXTSPLIT(A53, "-", ", ")</f>
        <v>21012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3">
      <c r="A54" s="7" t="s">
        <v>148</v>
      </c>
      <c r="B54" s="12" t="str" cm="1">
        <f t="array" ref="B54:F54">_xlfn.TEXTSPLIT(A54, "-", ", ")</f>
        <v>21014</v>
      </c>
      <c r="C54" s="1" t="str">
        <v>Monday</v>
      </c>
      <c r="D54" s="12" t="str">
        <v>0</v>
      </c>
      <c r="E54" s="1" t="str">
        <v>Sunday</v>
      </c>
      <c r="F54" s="12" t="str">
        <v>24</v>
      </c>
    </row>
    <row r="55" spans="1:6" x14ac:dyDescent="0.3">
      <c r="A55" s="9" t="s">
        <v>149</v>
      </c>
      <c r="B55" s="12" t="str" cm="1">
        <f t="array" ref="B55:F55">_xlfn.TEXTSPLIT(A55, "-", ", ")</f>
        <v>21016</v>
      </c>
      <c r="C55" s="10" t="str">
        <v>Monday</v>
      </c>
      <c r="D55" s="13" t="str">
        <v>0</v>
      </c>
      <c r="E55" s="10" t="str">
        <v>Sunday</v>
      </c>
      <c r="F55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28.109375" style="2" bestFit="1" customWidth="1"/>
    <col min="2" max="2" width="37.3320312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11</v>
      </c>
      <c r="B1" s="40" t="s">
        <v>150</v>
      </c>
    </row>
    <row r="2" spans="1:3" ht="18" x14ac:dyDescent="0.35">
      <c r="B2" s="39" t="s">
        <v>151</v>
      </c>
    </row>
    <row r="5" spans="1:3" ht="14.4" x14ac:dyDescent="0.3">
      <c r="B5" s="1" t="s">
        <v>98</v>
      </c>
    </row>
    <row r="6" spans="1:3" ht="14.4" x14ac:dyDescent="0.3">
      <c r="A6" s="3" t="s">
        <v>99</v>
      </c>
      <c r="B6" s="3" t="s">
        <v>152</v>
      </c>
    </row>
    <row r="7" spans="1:3" ht="14.4" x14ac:dyDescent="0.3">
      <c r="A7" s="3" t="s">
        <v>101</v>
      </c>
      <c r="B7" s="49" t="s">
        <v>153</v>
      </c>
    </row>
    <row r="10" spans="1:3" ht="23.4" x14ac:dyDescent="0.45">
      <c r="A10" s="18" t="s">
        <v>93</v>
      </c>
    </row>
    <row r="11" spans="1:3" ht="14.4" x14ac:dyDescent="0.3">
      <c r="A11" s="32" t="s">
        <v>154</v>
      </c>
      <c r="B11" s="17" t="s">
        <v>155</v>
      </c>
      <c r="C11" s="17" t="s">
        <v>156</v>
      </c>
    </row>
    <row r="12" spans="1:3" ht="14.4" x14ac:dyDescent="0.3">
      <c r="A12" s="32">
        <v>44927</v>
      </c>
      <c r="B12" s="17" t="s">
        <v>157</v>
      </c>
      <c r="C12" s="17">
        <v>200</v>
      </c>
    </row>
    <row r="13" spans="1:3" ht="14.4" x14ac:dyDescent="0.3">
      <c r="A13" s="32">
        <v>44928</v>
      </c>
      <c r="B13" s="17" t="s">
        <v>158</v>
      </c>
      <c r="C13" s="17">
        <v>20</v>
      </c>
    </row>
    <row r="14" spans="1:3" ht="14.4" x14ac:dyDescent="0.3">
      <c r="A14" s="32">
        <v>44929</v>
      </c>
      <c r="B14" s="17" t="s">
        <v>159</v>
      </c>
      <c r="C14" s="17">
        <v>50</v>
      </c>
    </row>
    <row r="15" spans="1:3" ht="14.4" x14ac:dyDescent="0.3">
      <c r="A15" s="32">
        <v>44930</v>
      </c>
      <c r="B15" s="17" t="s">
        <v>160</v>
      </c>
      <c r="C15" s="17">
        <v>20</v>
      </c>
    </row>
    <row r="16" spans="1:3" ht="14.4" x14ac:dyDescent="0.3">
      <c r="A16" s="32">
        <v>44931</v>
      </c>
      <c r="B16" s="17" t="s">
        <v>161</v>
      </c>
      <c r="C16" s="17">
        <v>10</v>
      </c>
    </row>
    <row r="17" spans="1:3" ht="14.4" x14ac:dyDescent="0.3">
      <c r="A17" s="32">
        <v>44932</v>
      </c>
      <c r="B17" s="17" t="s">
        <v>162</v>
      </c>
      <c r="C17" s="17">
        <v>150</v>
      </c>
    </row>
    <row r="18" spans="1:3" ht="14.4" x14ac:dyDescent="0.3">
      <c r="A18" s="32">
        <v>44933</v>
      </c>
      <c r="B18" s="17" t="s">
        <v>163</v>
      </c>
      <c r="C18" s="17">
        <v>80</v>
      </c>
    </row>
    <row r="19" spans="1:3" ht="14.4" x14ac:dyDescent="0.3">
      <c r="A19" s="32">
        <v>44934</v>
      </c>
      <c r="B19" s="17" t="s">
        <v>164</v>
      </c>
      <c r="C19" s="17">
        <v>20</v>
      </c>
    </row>
    <row r="20" spans="1:3" ht="14.4" x14ac:dyDescent="0.3">
      <c r="A20" s="32">
        <v>44935</v>
      </c>
      <c r="B20" s="17" t="s">
        <v>165</v>
      </c>
      <c r="C20" s="17">
        <v>30</v>
      </c>
    </row>
    <row r="21" spans="1:3" ht="14.4" x14ac:dyDescent="0.3">
      <c r="A21" s="32">
        <v>44936</v>
      </c>
      <c r="B21" s="17" t="s">
        <v>166</v>
      </c>
      <c r="C21" s="17">
        <v>20</v>
      </c>
    </row>
    <row r="22" spans="1:3" ht="14.4" x14ac:dyDescent="0.3">
      <c r="B22" s="17" t="s">
        <v>167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4" sqref="C4"/>
    </sheetView>
  </sheetViews>
  <sheetFormatPr defaultColWidth="11" defaultRowHeight="13.8" x14ac:dyDescent="0.3"/>
  <cols>
    <col min="1" max="1" width="28.109375" style="2" bestFit="1" customWidth="1"/>
    <col min="2" max="2" width="11" style="2"/>
    <col min="3" max="3" width="37.33203125" style="2" bestFit="1" customWidth="1"/>
    <col min="4" max="16384" width="11" style="2"/>
  </cols>
  <sheetData>
    <row r="1" spans="1:14" ht="21" x14ac:dyDescent="0.4">
      <c r="A1" s="41" t="s">
        <v>12</v>
      </c>
      <c r="B1" s="40" t="s">
        <v>168</v>
      </c>
    </row>
    <row r="3" spans="1:14" ht="14.4" x14ac:dyDescent="0.3">
      <c r="B3" s="1" t="s">
        <v>98</v>
      </c>
    </row>
    <row r="4" spans="1:14" ht="18" x14ac:dyDescent="0.35">
      <c r="A4" s="42" t="s">
        <v>99</v>
      </c>
      <c r="B4" s="1"/>
      <c r="C4" s="3" t="s">
        <v>169</v>
      </c>
    </row>
    <row r="5" spans="1:14" ht="18" x14ac:dyDescent="0.35">
      <c r="A5" s="42" t="s">
        <v>101</v>
      </c>
      <c r="B5" s="1"/>
      <c r="C5" s="50" t="s">
        <v>170</v>
      </c>
    </row>
    <row r="6" spans="1:14" ht="14.4" x14ac:dyDescent="0.3">
      <c r="A6" s="3"/>
      <c r="B6" s="1"/>
    </row>
    <row r="8" spans="1:14" ht="23.4" x14ac:dyDescent="0.45">
      <c r="A8" s="18" t="s">
        <v>93</v>
      </c>
      <c r="M8" s="18" t="s">
        <v>171</v>
      </c>
    </row>
    <row r="9" spans="1:14" ht="14.4" x14ac:dyDescent="0.3">
      <c r="A9" s="26"/>
      <c r="B9" s="26" t="s">
        <v>172</v>
      </c>
      <c r="C9" s="26" t="s">
        <v>173</v>
      </c>
      <c r="D9" s="26" t="s">
        <v>174</v>
      </c>
      <c r="E9" s="26" t="s">
        <v>175</v>
      </c>
      <c r="F9" s="26" t="s">
        <v>176</v>
      </c>
      <c r="G9" s="26" t="s">
        <v>177</v>
      </c>
      <c r="H9" s="26" t="s">
        <v>178</v>
      </c>
      <c r="I9" s="26" t="s">
        <v>179</v>
      </c>
      <c r="J9" s="26" t="s">
        <v>180</v>
      </c>
      <c r="M9" s="19" t="s">
        <v>15</v>
      </c>
      <c r="N9" s="19" t="s">
        <v>181</v>
      </c>
    </row>
    <row r="10" spans="1:14" ht="14.4" x14ac:dyDescent="0.3">
      <c r="A10" s="26" t="s">
        <v>172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172</v>
      </c>
    </row>
    <row r="11" spans="1:14" ht="14.4" x14ac:dyDescent="0.3">
      <c r="A11" s="26" t="s">
        <v>173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173</v>
      </c>
    </row>
    <row r="12" spans="1:14" ht="14.4" x14ac:dyDescent="0.3">
      <c r="A12" s="26" t="s">
        <v>174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174</v>
      </c>
    </row>
    <row r="13" spans="1:14" ht="14.4" x14ac:dyDescent="0.3">
      <c r="A13" s="26" t="s">
        <v>175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175</v>
      </c>
    </row>
    <row r="14" spans="1:14" ht="14.4" x14ac:dyDescent="0.3">
      <c r="A14" s="26" t="s">
        <v>176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176</v>
      </c>
    </row>
    <row r="15" spans="1:14" ht="14.4" x14ac:dyDescent="0.3">
      <c r="A15" s="26" t="s">
        <v>177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177</v>
      </c>
    </row>
    <row r="16" spans="1:14" ht="14.4" x14ac:dyDescent="0.3">
      <c r="A16" s="26" t="s">
        <v>178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178</v>
      </c>
    </row>
    <row r="17" spans="1:14" ht="14.4" x14ac:dyDescent="0.3">
      <c r="A17" s="26" t="s">
        <v>179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179</v>
      </c>
    </row>
    <row r="18" spans="1:14" ht="14.4" x14ac:dyDescent="0.3">
      <c r="A18" s="26" t="s">
        <v>180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180</v>
      </c>
    </row>
    <row r="21" spans="1:14" ht="23.4" x14ac:dyDescent="0.45">
      <c r="A21" s="18" t="s">
        <v>182</v>
      </c>
    </row>
    <row r="22" spans="1:14" ht="14.4" x14ac:dyDescent="0.3">
      <c r="A22" s="14" t="s">
        <v>183</v>
      </c>
      <c r="B22" s="17" t="s">
        <v>184</v>
      </c>
      <c r="C22" s="16" t="s">
        <v>104</v>
      </c>
    </row>
    <row r="23" spans="1:14" ht="14.4" x14ac:dyDescent="0.3">
      <c r="A23" s="7">
        <v>10100</v>
      </c>
      <c r="B23" s="12">
        <v>10102</v>
      </c>
      <c r="C23" s="43">
        <f>INDEX(A9:J18,2,3)</f>
        <v>95</v>
      </c>
    </row>
    <row r="24" spans="1:14" ht="14.4" x14ac:dyDescent="0.3">
      <c r="A24" s="7">
        <v>10100</v>
      </c>
      <c r="B24" s="12">
        <v>10104</v>
      </c>
      <c r="C24" s="43">
        <f>INDEX(A10:J19,2,4)</f>
        <v>-1</v>
      </c>
    </row>
    <row r="25" spans="1:14" ht="14.4" x14ac:dyDescent="0.3">
      <c r="A25" s="7">
        <v>10108</v>
      </c>
      <c r="B25" s="12">
        <v>10102</v>
      </c>
      <c r="C25" s="43">
        <f>INDEX(A9:J18,6,3)</f>
        <v>160</v>
      </c>
    </row>
    <row r="26" spans="1:14" ht="14.4" x14ac:dyDescent="0.3">
      <c r="A26" s="7">
        <v>10100</v>
      </c>
      <c r="B26" s="12">
        <v>10106</v>
      </c>
      <c r="C26" s="43">
        <f>INDEX(A9:J18,2,5)</f>
        <v>185</v>
      </c>
    </row>
    <row r="27" spans="1:14" ht="14.4" x14ac:dyDescent="0.3">
      <c r="A27" s="7">
        <v>10108</v>
      </c>
      <c r="B27" s="12">
        <v>10110</v>
      </c>
      <c r="C27" s="43">
        <f>INDEX(A9:J18,6,7)</f>
        <v>50</v>
      </c>
    </row>
    <row r="28" spans="1:14" ht="14.4" x14ac:dyDescent="0.3">
      <c r="A28" s="7">
        <v>10102</v>
      </c>
      <c r="B28" s="12">
        <v>10104</v>
      </c>
      <c r="C28" s="43">
        <f>INDEX(A9:J18,3,4)</f>
        <v>-1</v>
      </c>
    </row>
    <row r="29" spans="1:14" ht="14.4" x14ac:dyDescent="0.3">
      <c r="A29" s="7">
        <v>10106</v>
      </c>
      <c r="B29" s="12">
        <v>10108</v>
      </c>
      <c r="C29" s="43">
        <f>INDEX(A9:J18,5,6)</f>
        <v>70</v>
      </c>
    </row>
    <row r="30" spans="1:14" ht="14.4" x14ac:dyDescent="0.3">
      <c r="A30" s="7">
        <v>10102</v>
      </c>
      <c r="B30" s="12">
        <v>10106</v>
      </c>
      <c r="C30" s="43">
        <f>INDEX(A9:J18,3,5)</f>
        <v>90</v>
      </c>
    </row>
    <row r="31" spans="1:14" ht="14.4" x14ac:dyDescent="0.3">
      <c r="A31" s="7">
        <v>10110</v>
      </c>
      <c r="B31" s="12">
        <v>10114</v>
      </c>
      <c r="C31" s="43">
        <f>INDEX(A9:J18,7,9)</f>
        <v>180</v>
      </c>
    </row>
    <row r="32" spans="1:14" ht="14.4" x14ac:dyDescent="0.3">
      <c r="A32" s="7">
        <v>10104</v>
      </c>
      <c r="B32" s="12">
        <v>10106</v>
      </c>
      <c r="C32" s="43">
        <f>INDEX(A9:J18,4,5)</f>
        <v>60</v>
      </c>
    </row>
    <row r="33" spans="1:3" ht="14.4" x14ac:dyDescent="0.3">
      <c r="A33" s="7">
        <v>10110</v>
      </c>
      <c r="B33" s="12">
        <v>10112</v>
      </c>
      <c r="C33" s="43">
        <f>INDEX(A9:J18,7,8)</f>
        <v>115</v>
      </c>
    </row>
    <row r="34" spans="1:3" ht="14.4" x14ac:dyDescent="0.3">
      <c r="A34" s="7">
        <v>10100</v>
      </c>
      <c r="B34" s="12">
        <v>10114</v>
      </c>
      <c r="C34" s="43">
        <f>INDEX(A9:J18,2,9)</f>
        <v>480</v>
      </c>
    </row>
    <row r="35" spans="1:3" ht="14.4" x14ac:dyDescent="0.3">
      <c r="A35" s="9">
        <v>10112</v>
      </c>
      <c r="B35" s="13">
        <v>10116</v>
      </c>
      <c r="C35" s="43">
        <f>INDEX(A9:J18,8,10)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Palak Katrodia</cp:lastModifiedBy>
  <cp:revision/>
  <dcterms:created xsi:type="dcterms:W3CDTF">2015-02-10T17:33:11Z</dcterms:created>
  <dcterms:modified xsi:type="dcterms:W3CDTF">2024-10-23T06:14:24Z</dcterms:modified>
  <cp:category/>
  <cp:contentStatus/>
</cp:coreProperties>
</file>